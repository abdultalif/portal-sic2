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D:\2022_SERTIFIKASI\ISPO\"/>
    </mc:Choice>
  </mc:AlternateContent>
  <xr:revisionPtr revIDLastSave="0" documentId="13_ncr:1_{A4BFBA13-FF65-4EE0-BE3D-4BD3635C7CE6}" xr6:coauthVersionLast="47" xr6:coauthVersionMax="47" xr10:uidLastSave="{00000000-0000-0000-0000-000000000000}"/>
  <bookViews>
    <workbookView xWindow="-108" yWindow="-108" windowWidth="23256" windowHeight="12456" activeTab="1" xr2:uid="{00000000-000D-0000-FFFF-FFFF00000000}"/>
  </bookViews>
  <sheets>
    <sheet name="RAB Sertifikasi PT TBP" sheetId="2" r:id="rId1"/>
    <sheet name="revisi" sheetId="3" r:id="rId2"/>
  </sheets>
  <definedNames>
    <definedName name="_xlnm.Print_Area" localSheetId="0">'RAB Sertifikasi PT TBP'!$B$2:$I$55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K40" i="3" l="1"/>
  <c r="I39" i="3"/>
  <c r="I38" i="3"/>
  <c r="I37" i="3"/>
  <c r="I36" i="3"/>
  <c r="I35" i="3"/>
  <c r="I34" i="3"/>
  <c r="H33" i="3"/>
  <c r="I33" i="3" s="1"/>
  <c r="I32" i="3"/>
  <c r="H31" i="3"/>
  <c r="I31" i="3" s="1"/>
  <c r="H30" i="3"/>
  <c r="I30" i="3" s="1"/>
  <c r="I28" i="3"/>
  <c r="I27" i="3"/>
  <c r="I26" i="3"/>
  <c r="I25" i="3"/>
  <c r="I23" i="3"/>
  <c r="I21" i="3"/>
  <c r="I20" i="3"/>
  <c r="I19" i="3"/>
  <c r="I18" i="3"/>
  <c r="I16" i="3"/>
  <c r="I15" i="3"/>
  <c r="K40" i="2"/>
  <c r="I23" i="2"/>
  <c r="I40" i="3" l="1"/>
  <c r="I41" i="3" s="1"/>
  <c r="H30" i="2"/>
  <c r="I30" i="2" s="1"/>
  <c r="I25" i="2"/>
  <c r="H31" i="2"/>
  <c r="H33" i="2"/>
  <c r="I38" i="2"/>
  <c r="I28" i="2"/>
  <c r="I27" i="2"/>
  <c r="I26" i="2"/>
  <c r="I39" i="2" l="1"/>
  <c r="I37" i="2"/>
  <c r="I36" i="2"/>
  <c r="I35" i="2"/>
  <c r="I34" i="2"/>
  <c r="I33" i="2"/>
  <c r="I32" i="2"/>
  <c r="I31" i="2"/>
  <c r="I40" i="2" s="1"/>
  <c r="I20" i="2"/>
  <c r="I19" i="2"/>
  <c r="I18" i="2"/>
  <c r="I16" i="2"/>
  <c r="I15" i="2"/>
  <c r="I21" i="2" l="1"/>
  <c r="I41" i="2" l="1"/>
</calcChain>
</file>

<file path=xl/sharedStrings.xml><?xml version="1.0" encoding="utf-8"?>
<sst xmlns="http://schemas.openxmlformats.org/spreadsheetml/2006/main" count="172" uniqueCount="65">
  <si>
    <t>NO</t>
  </si>
  <si>
    <t>URAIAN</t>
  </si>
  <si>
    <t>SATUAN</t>
  </si>
  <si>
    <t>JUMLAH</t>
  </si>
  <si>
    <t>BIAYA PERSATUAN</t>
  </si>
  <si>
    <t>TOTA BIAYA</t>
  </si>
  <si>
    <t>I</t>
  </si>
  <si>
    <t>BIAYA LANGSUNG PERSONIL</t>
  </si>
  <si>
    <t xml:space="preserve">Audit Tahap I </t>
  </si>
  <si>
    <t>a.</t>
  </si>
  <si>
    <t>Lead Auditor (1 Orang, 2 Hari)</t>
  </si>
  <si>
    <t>OH</t>
  </si>
  <si>
    <t>b.</t>
  </si>
  <si>
    <t>Auditor (2 Orang untuk 2 hari)</t>
  </si>
  <si>
    <t>Audit Tahap II</t>
  </si>
  <si>
    <t>b</t>
  </si>
  <si>
    <t>c.</t>
  </si>
  <si>
    <t>Pengambilan Keputusan (1 Orang, 2 Hari)</t>
  </si>
  <si>
    <t>TOTAL BIAYA PERSONIL (I)</t>
  </si>
  <si>
    <t>II</t>
  </si>
  <si>
    <t>BIAYA LANGSUNG NON PERSONIL</t>
  </si>
  <si>
    <t>Paket</t>
  </si>
  <si>
    <t>PP</t>
  </si>
  <si>
    <t>Hari</t>
  </si>
  <si>
    <t>d.</t>
  </si>
  <si>
    <t>Koordinasi dengan Instansi di Daerah (dinas dan UPT di daerah)</t>
  </si>
  <si>
    <t>paket</t>
  </si>
  <si>
    <t>Konsultasi Publik  (penghimpunan informasi dari beberapa stakeholder)</t>
  </si>
  <si>
    <t xml:space="preserve">Paket </t>
  </si>
  <si>
    <t>Biaya Pemeriksaan Lapangan dan Analisis Data (Perusahaan Budidaya)</t>
  </si>
  <si>
    <t>Rapat-rapat Pembahasan</t>
  </si>
  <si>
    <t>Alat Tulis Kantor</t>
  </si>
  <si>
    <t>TOTAL BIAYA LANGSUNG NON PERSONIL (II)</t>
  </si>
  <si>
    <t>TOTAL BIAYA PERSONIL DAN NON PERSONIL (I+II)</t>
  </si>
  <si>
    <t>Lead Auditor (1 Orang, 5 Hari)</t>
  </si>
  <si>
    <t>Auditor (2 Orang untuk 5 hari)</t>
  </si>
  <si>
    <t>Tiket Pesawat Jakarata - Tanjung selor  (3 Orang, 2 rit)</t>
  </si>
  <si>
    <t xml:space="preserve"> Akomodasi (3 Orang,4  Hari)</t>
  </si>
  <si>
    <t>Transportasi lokal (3 orang, 5 Hari)</t>
  </si>
  <si>
    <t>Kunjungan  Lapangan Auidt Tahap I</t>
  </si>
  <si>
    <t>B.</t>
  </si>
  <si>
    <t>Akomodasi (3 Orang, 1 hari)</t>
  </si>
  <si>
    <t>Transportasi Lokal (3 Orang, 2 Hari)</t>
  </si>
  <si>
    <t xml:space="preserve">A. </t>
  </si>
  <si>
    <t>Kunjungan  Lapangan Auidt Tahap II</t>
  </si>
  <si>
    <t>Tiket Jakarta - Tanjung Selor (3 Orang, 2 rit)</t>
  </si>
  <si>
    <t>KOP SURAT PT SARBI INERNATIONAL CERTIFICATION</t>
  </si>
  <si>
    <t>Kepada Yth. : Bpk. Pimpinan PT Tunas Borneo Plantations</t>
  </si>
  <si>
    <t>Perihal           : Penawaran Rencana Anggaran Biaya (RAB) Sertifikasi ISPO</t>
  </si>
  <si>
    <t>Berikut ini kami sampaikan RAB Sertifikasi ISPO untuk PT Tunas Borneo Plantations yang berada di Wilayah Administrasi Desa Sajau dan Desa Jelarai, Kec. Tanjung Palas Timur, Kab. Bulungan, Prov. Kaltara dengan luas HGU 3.565 ha.</t>
  </si>
  <si>
    <t>Demikian kami sampaikan, atas perhatian dan pertimbangan Bapak, kami ucapkan terima kasih.</t>
  </si>
  <si>
    <t>(Ir. Iin Indasah)</t>
  </si>
  <si>
    <t>Direktur Utama</t>
  </si>
  <si>
    <t xml:space="preserve"> </t>
  </si>
  <si>
    <t>Biaya Pelaporan &amp; Sertifikat</t>
  </si>
  <si>
    <t>mobil/hr</t>
  </si>
  <si>
    <t>Transportasi airport Jkt 3 orang</t>
  </si>
  <si>
    <t>C.</t>
  </si>
  <si>
    <t>D.</t>
  </si>
  <si>
    <t>E.</t>
  </si>
  <si>
    <t>F.</t>
  </si>
  <si>
    <t>Pra Assesment</t>
  </si>
  <si>
    <t>Biaya tersebut belum termasuk ppn 11%</t>
  </si>
  <si>
    <t>Bogor, 20 September 2022</t>
  </si>
  <si>
    <t>PT. SARBI INTERNATIONAL CERTIFICATION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</si>
</sst>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Rp&quot;* #,##0_-;\-&quot;Rp&quot;* #,##0_-;_-&quot;Rp&quot;* &quot;-&quot;_-;_-@_-"/>
  </numFmts>
  <fonts count="6" x14ac:knownFonts="1">
    <font>
      <sz val="11"/>
      <color theme="1"/>
      <name val="Calibri"/>
      <family val="2"/>
      <scheme val="minor"/>
    </font>
    <font>
      <b/>
      <sz val="11"/>
      <color theme="1"/>
      <name val="Arial"/>
      <family val="2"/>
    </font>
    <font>
      <sz val="11"/>
      <color theme="1"/>
      <name val="Arial"/>
      <family val="2"/>
    </font>
    <font>
      <u/>
      <sz val="11"/>
      <color theme="10"/>
      <name val="Calibri"/>
      <family val="2"/>
      <scheme val="minor"/>
    </font>
    <font>
      <b/>
      <sz val="22"/>
      <color theme="0"/>
      <name val="Arial"/>
      <family val="2"/>
    </font>
    <font>
      <u/>
      <sz val="11"/>
      <color theme="1"/>
      <name val="Arial"/>
      <family val="2"/>
    </font>
  </fonts>
  <fills count="5">
    <fill>
      <patternFill patternType="none"/>
    </fill>
    <fill>
      <patternFill patternType="gray125"/>
    </fill>
    <fill>
      <patternFill patternType="solid">
        <fgColor theme="8" tint="-0.499984740745262"/>
        <bgColor indexed="64"/>
      </patternFill>
    </fill>
    <fill>
      <patternFill patternType="solid">
        <fgColor theme="4" tint="0.39997558519241921"/>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61">
    <xf numFmtId="0" fontId="0" fillId="0" borderId="0" xfId="0"/>
    <xf numFmtId="0" fontId="1" fillId="0" borderId="1" xfId="0" applyFont="1" applyBorder="1" applyAlignment="1">
      <alignment horizontal="center" vertical="top"/>
    </xf>
    <xf numFmtId="0" fontId="2" fillId="0" borderId="1" xfId="0" applyFont="1" applyBorder="1" applyAlignment="1">
      <alignment horizontal="left" vertical="top"/>
    </xf>
    <xf numFmtId="0" fontId="2" fillId="0" borderId="2" xfId="0"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vertical="top"/>
    </xf>
    <xf numFmtId="42" fontId="2" fillId="0" borderId="1" xfId="0" applyNumberFormat="1" applyFont="1" applyBorder="1" applyAlignment="1">
      <alignment vertical="top"/>
    </xf>
    <xf numFmtId="0" fontId="2" fillId="0" borderId="7" xfId="0" applyFont="1" applyBorder="1" applyAlignment="1">
      <alignment horizontal="center" vertical="top"/>
    </xf>
    <xf numFmtId="42" fontId="1" fillId="0" borderId="1" xfId="0" applyNumberFormat="1" applyFont="1" applyBorder="1" applyAlignment="1">
      <alignment vertical="top"/>
    </xf>
    <xf numFmtId="0" fontId="1" fillId="0" borderId="1" xfId="0" applyFont="1" applyBorder="1" applyAlignment="1">
      <alignment vertical="top"/>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42" fontId="1" fillId="0" borderId="1" xfId="1" applyNumberFormat="1" applyFont="1" applyBorder="1" applyAlignment="1">
      <alignment vertical="top"/>
    </xf>
    <xf numFmtId="0" fontId="1" fillId="3" borderId="1" xfId="0" applyFont="1" applyFill="1" applyBorder="1" applyAlignment="1">
      <alignment horizontal="center" vertic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2" xfId="0" applyFont="1" applyBorder="1" applyAlignment="1">
      <alignment vertical="top"/>
    </xf>
    <xf numFmtId="0" fontId="2" fillId="0" borderId="0" xfId="0" applyFont="1"/>
    <xf numFmtId="0" fontId="5" fillId="0" borderId="0" xfId="0" applyFont="1"/>
    <xf numFmtId="0" fontId="2" fillId="0" borderId="2" xfId="0" applyFont="1" applyBorder="1" applyAlignment="1">
      <alignment horizontal="left" vertical="top"/>
    </xf>
    <xf numFmtId="0" fontId="0" fillId="0" borderId="1" xfId="0" applyBorder="1"/>
    <xf numFmtId="42" fontId="0" fillId="0" borderId="0" xfId="0" applyNumberFormat="1"/>
    <xf numFmtId="0" fontId="2" fillId="0" borderId="4" xfId="0" applyFont="1" applyBorder="1" applyAlignment="1">
      <alignment vertical="top" wrapText="1"/>
    </xf>
    <xf numFmtId="0" fontId="1" fillId="0" borderId="3" xfId="0" applyFont="1" applyBorder="1" applyAlignment="1">
      <alignment horizontal="left" vertical="top"/>
    </xf>
    <xf numFmtId="0" fontId="1" fillId="0" borderId="4" xfId="0" applyFont="1" applyBorder="1" applyAlignment="1">
      <alignment horizontal="left" vertical="top"/>
    </xf>
    <xf numFmtId="42" fontId="1" fillId="4" borderId="1" xfId="0" applyNumberFormat="1" applyFont="1" applyFill="1" applyBorder="1" applyAlignment="1">
      <alignment vertical="top"/>
    </xf>
    <xf numFmtId="0" fontId="2" fillId="0" borderId="1" xfId="0" applyFont="1" applyBorder="1" applyAlignment="1">
      <alignment horizontal="left" vertical="top"/>
    </xf>
    <xf numFmtId="0" fontId="1" fillId="0" borderId="1" xfId="0" applyFont="1" applyBorder="1" applyAlignment="1">
      <alignment horizontal="center" vertical="top"/>
    </xf>
    <xf numFmtId="0" fontId="1" fillId="4" borderId="1" xfId="0" applyFont="1" applyFill="1" applyBorder="1" applyAlignment="1">
      <alignment horizontal="center" vertical="top"/>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2" xfId="0" applyFont="1" applyBorder="1" applyAlignment="1">
      <alignment horizontal="left" vertical="top" wrapText="1"/>
    </xf>
    <xf numFmtId="0" fontId="1" fillId="3" borderId="1" xfId="0" applyFont="1" applyFill="1" applyBorder="1" applyAlignment="1">
      <alignment horizontal="center" vertical="center"/>
    </xf>
    <xf numFmtId="0" fontId="1" fillId="0" borderId="1" xfId="0" applyFont="1" applyBorder="1" applyAlignment="1">
      <alignment horizontal="left" vertical="top"/>
    </xf>
    <xf numFmtId="0" fontId="2" fillId="0" borderId="1" xfId="0" applyFont="1" applyBorder="1" applyAlignment="1">
      <alignment horizontal="center" vertical="top"/>
    </xf>
    <xf numFmtId="0" fontId="2" fillId="0" borderId="0" xfId="0" applyFont="1" applyAlignment="1">
      <alignment vertical="center" wrapText="1"/>
    </xf>
    <xf numFmtId="0" fontId="0" fillId="0" borderId="14" xfId="0" applyBorder="1"/>
    <xf numFmtId="0" fontId="2" fillId="0" borderId="0" xfId="0" applyFont="1"/>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0" fillId="0" borderId="9" xfId="0" applyBorder="1"/>
    <xf numFmtId="0" fontId="2" fillId="0" borderId="0" xfId="0" applyFont="1" applyAlignment="1">
      <alignment vertical="center"/>
    </xf>
    <xf numFmtId="0" fontId="2" fillId="0" borderId="5" xfId="0" applyFont="1" applyBorder="1" applyAlignment="1">
      <alignment horizontal="center" vertical="top"/>
    </xf>
    <xf numFmtId="0" fontId="2" fillId="0" borderId="6" xfId="0" applyFont="1" applyBorder="1" applyAlignment="1">
      <alignment horizontal="center" vertical="top"/>
    </xf>
    <xf numFmtId="0" fontId="2" fillId="0" borderId="2" xfId="0" applyFont="1" applyBorder="1" applyAlignment="1">
      <alignment horizontal="left" vertical="top"/>
    </xf>
    <xf numFmtId="0" fontId="2" fillId="0" borderId="2" xfId="0" applyFont="1" applyBorder="1"/>
    <xf numFmtId="0" fontId="2" fillId="0" borderId="3" xfId="0" applyFont="1" applyBorder="1"/>
    <xf numFmtId="0" fontId="2" fillId="0" borderId="4" xfId="0" applyFont="1" applyBorder="1"/>
    <xf numFmtId="0" fontId="0" fillId="0" borderId="0" xfId="0"/>
    <xf numFmtId="0" fontId="5" fillId="0" borderId="0" xfId="0" applyFont="1" applyAlignment="1">
      <alignment horizontal="left" vertical="center"/>
    </xf>
    <xf numFmtId="0" fontId="2" fillId="0" borderId="0" xfId="0" applyFont="1" applyAlignment="1">
      <alignment horizontal="left" vertical="center"/>
    </xf>
    <xf numFmtId="0" fontId="1"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CC99FF"/>
      <color rgb="FF660066"/>
      <color rgb="FF66663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600074</xdr:colOff>
      <xdr:row>1</xdr:row>
      <xdr:rowOff>171450</xdr:rowOff>
    </xdr:from>
    <xdr:to>
      <xdr:col>9</xdr:col>
      <xdr:colOff>28574</xdr:colOff>
      <xdr:row>6</xdr:row>
      <xdr:rowOff>9525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4" y="361950"/>
          <a:ext cx="7705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48</xdr:row>
      <xdr:rowOff>47625</xdr:rowOff>
    </xdr:from>
    <xdr:to>
      <xdr:col>3</xdr:col>
      <xdr:colOff>368754</xdr:colOff>
      <xdr:row>52</xdr:row>
      <xdr:rowOff>47625</xdr:rowOff>
    </xdr:to>
    <xdr:pic>
      <xdr:nvPicPr>
        <xdr:cNvPr id="5" name="Picture 4" descr="Description: ttd mak - Copy">
          <a:extLst>
            <a:ext uri="{FF2B5EF4-FFF2-40B4-BE49-F238E27FC236}">
              <a16:creationId xmlns:a16="http://schemas.microsoft.com/office/drawing/2014/main" id="{A1257C82-4BDB-3920-C55B-6D2351C980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7700" y="10039350"/>
          <a:ext cx="1292679" cy="7239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600074</xdr:colOff>
      <xdr:row>1</xdr:row>
      <xdr:rowOff>171450</xdr:rowOff>
    </xdr:from>
    <xdr:to>
      <xdr:col>9</xdr:col>
      <xdr:colOff>28574</xdr:colOff>
      <xdr:row>6</xdr:row>
      <xdr:rowOff>9525</xdr:rowOff>
    </xdr:to>
    <xdr:pic>
      <xdr:nvPicPr>
        <xdr:cNvPr id="2" name="Picture 1">
          <a:extLst>
            <a:ext uri="{FF2B5EF4-FFF2-40B4-BE49-F238E27FC236}">
              <a16:creationId xmlns:a16="http://schemas.microsoft.com/office/drawing/2014/main" id="{B9245ED8-C264-47A7-BF42-7824CC81AC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4" y="354330"/>
          <a:ext cx="7917180" cy="813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xdr:colOff>
      <xdr:row>48</xdr:row>
      <xdr:rowOff>47625</xdr:rowOff>
    </xdr:from>
    <xdr:to>
      <xdr:col>3</xdr:col>
      <xdr:colOff>368754</xdr:colOff>
      <xdr:row>52</xdr:row>
      <xdr:rowOff>17145</xdr:rowOff>
    </xdr:to>
    <xdr:pic>
      <xdr:nvPicPr>
        <xdr:cNvPr id="3" name="Picture 2" descr="Description: ttd mak - Copy">
          <a:extLst>
            <a:ext uri="{FF2B5EF4-FFF2-40B4-BE49-F238E27FC236}">
              <a16:creationId xmlns:a16="http://schemas.microsoft.com/office/drawing/2014/main" id="{593A6382-87F1-447C-A99C-2CAAEF890D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7700" y="11340465"/>
          <a:ext cx="1321254" cy="7010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62"/>
  <sheetViews>
    <sheetView showGridLines="0" view="pageBreakPreview" zoomScaleNormal="100" zoomScaleSheetLayoutView="100" workbookViewId="0">
      <selection sqref="A1:XFD1048576"/>
    </sheetView>
  </sheetViews>
  <sheetFormatPr defaultRowHeight="14.4" x14ac:dyDescent="0.3"/>
  <cols>
    <col min="2" max="2" width="7.33203125" customWidth="1"/>
    <col min="3" max="3" width="7.109375" customWidth="1"/>
    <col min="4" max="4" width="6.44140625" customWidth="1"/>
    <col min="5" max="5" width="29.44140625" customWidth="1"/>
    <col min="6" max="6" width="11.6640625" customWidth="1"/>
    <col min="7" max="7" width="11.109375" customWidth="1"/>
    <col min="8" max="8" width="21.6640625" customWidth="1"/>
    <col min="9" max="9" width="20.109375" customWidth="1"/>
    <col min="11" max="11" width="16.44140625" customWidth="1"/>
  </cols>
  <sheetData>
    <row r="3" spans="2:9" ht="15.75" customHeight="1" x14ac:dyDescent="0.3">
      <c r="B3" s="40" t="s">
        <v>46</v>
      </c>
      <c r="C3" s="41"/>
      <c r="D3" s="41"/>
      <c r="E3" s="41"/>
      <c r="F3" s="41"/>
      <c r="G3" s="41"/>
      <c r="H3" s="41"/>
      <c r="I3" s="42"/>
    </row>
    <row r="4" spans="2:9" ht="15.75" customHeight="1" x14ac:dyDescent="0.3">
      <c r="B4" s="43"/>
      <c r="C4" s="44"/>
      <c r="D4" s="44"/>
      <c r="E4" s="44"/>
      <c r="F4" s="44"/>
      <c r="G4" s="44"/>
      <c r="H4" s="44"/>
      <c r="I4" s="45"/>
    </row>
    <row r="5" spans="2:9" ht="15.75" customHeight="1" x14ac:dyDescent="0.3">
      <c r="B5" s="43"/>
      <c r="C5" s="44"/>
      <c r="D5" s="44"/>
      <c r="E5" s="44"/>
      <c r="F5" s="44"/>
      <c r="G5" s="44"/>
      <c r="H5" s="44"/>
      <c r="I5" s="45"/>
    </row>
    <row r="6" spans="2:9" ht="15.75" customHeight="1" x14ac:dyDescent="0.3">
      <c r="B6" s="46"/>
      <c r="C6" s="47"/>
      <c r="D6" s="47"/>
      <c r="E6" s="47"/>
      <c r="F6" s="47"/>
      <c r="G6" s="47"/>
      <c r="H6" s="47"/>
      <c r="I6" s="48"/>
    </row>
    <row r="7" spans="2:9" x14ac:dyDescent="0.3">
      <c r="B7" s="49"/>
      <c r="C7" s="49"/>
      <c r="D7" s="49"/>
      <c r="E7" s="49"/>
      <c r="F7" s="49"/>
      <c r="G7" s="49"/>
      <c r="H7" s="49"/>
      <c r="I7" s="49"/>
    </row>
    <row r="8" spans="2:9" s="17" customFormat="1" ht="13.8" x14ac:dyDescent="0.25">
      <c r="B8" s="50" t="s">
        <v>47</v>
      </c>
      <c r="C8" s="50"/>
      <c r="D8" s="50"/>
      <c r="E8" s="50"/>
      <c r="F8" s="50"/>
      <c r="G8" s="50"/>
      <c r="H8" s="50"/>
      <c r="I8" s="50"/>
    </row>
    <row r="9" spans="2:9" s="17" customFormat="1" ht="13.8" x14ac:dyDescent="0.25">
      <c r="B9" s="50" t="s">
        <v>48</v>
      </c>
      <c r="C9" s="50"/>
      <c r="D9" s="50"/>
      <c r="E9" s="50"/>
      <c r="F9" s="50"/>
      <c r="G9" s="50"/>
      <c r="H9" s="50"/>
      <c r="I9" s="50"/>
    </row>
    <row r="10" spans="2:9" s="17" customFormat="1" ht="39.75" customHeight="1" x14ac:dyDescent="0.25">
      <c r="B10" s="37" t="s">
        <v>49</v>
      </c>
      <c r="C10" s="37"/>
      <c r="D10" s="37"/>
      <c r="E10" s="37"/>
      <c r="F10" s="37"/>
      <c r="G10" s="37"/>
      <c r="H10" s="37"/>
      <c r="I10" s="37"/>
    </row>
    <row r="11" spans="2:9" x14ac:dyDescent="0.3">
      <c r="B11" s="38"/>
      <c r="C11" s="38"/>
      <c r="D11" s="38"/>
      <c r="E11" s="38"/>
      <c r="F11" s="38"/>
      <c r="G11" s="38"/>
      <c r="H11" s="38"/>
      <c r="I11" s="38"/>
    </row>
    <row r="12" spans="2:9" x14ac:dyDescent="0.3">
      <c r="B12" s="13" t="s">
        <v>0</v>
      </c>
      <c r="C12" s="34" t="s">
        <v>1</v>
      </c>
      <c r="D12" s="34"/>
      <c r="E12" s="34"/>
      <c r="F12" s="13" t="s">
        <v>2</v>
      </c>
      <c r="G12" s="13" t="s">
        <v>3</v>
      </c>
      <c r="H12" s="13" t="s">
        <v>4</v>
      </c>
      <c r="I12" s="13" t="s">
        <v>5</v>
      </c>
    </row>
    <row r="13" spans="2:9" x14ac:dyDescent="0.3">
      <c r="B13" s="1" t="s">
        <v>6</v>
      </c>
      <c r="C13" s="35" t="s">
        <v>7</v>
      </c>
      <c r="D13" s="35"/>
      <c r="E13" s="35"/>
      <c r="F13" s="35"/>
      <c r="G13" s="35"/>
      <c r="H13" s="35"/>
      <c r="I13" s="35"/>
    </row>
    <row r="14" spans="2:9" x14ac:dyDescent="0.3">
      <c r="B14" s="36">
        <v>1</v>
      </c>
      <c r="C14" s="26" t="s">
        <v>8</v>
      </c>
      <c r="D14" s="26"/>
      <c r="E14" s="26"/>
      <c r="F14" s="2"/>
      <c r="G14" s="2"/>
      <c r="H14" s="2"/>
      <c r="I14" s="2"/>
    </row>
    <row r="15" spans="2:9" x14ac:dyDescent="0.3">
      <c r="B15" s="36"/>
      <c r="C15" s="3" t="s">
        <v>9</v>
      </c>
      <c r="D15" s="31" t="s">
        <v>10</v>
      </c>
      <c r="E15" s="32"/>
      <c r="F15" s="4" t="s">
        <v>11</v>
      </c>
      <c r="G15" s="5">
        <v>2</v>
      </c>
      <c r="H15" s="6">
        <v>1500000</v>
      </c>
      <c r="I15" s="6">
        <f>H15*G15</f>
        <v>3000000</v>
      </c>
    </row>
    <row r="16" spans="2:9" x14ac:dyDescent="0.3">
      <c r="B16" s="36"/>
      <c r="C16" s="3" t="s">
        <v>12</v>
      </c>
      <c r="D16" s="31" t="s">
        <v>13</v>
      </c>
      <c r="E16" s="32"/>
      <c r="F16" s="4" t="s">
        <v>11</v>
      </c>
      <c r="G16" s="5">
        <v>4</v>
      </c>
      <c r="H16" s="6">
        <v>1000000</v>
      </c>
      <c r="I16" s="6">
        <f>H16*G16</f>
        <v>4000000</v>
      </c>
    </row>
    <row r="17" spans="2:9" x14ac:dyDescent="0.3">
      <c r="B17" s="51">
        <v>2</v>
      </c>
      <c r="C17" s="53" t="s">
        <v>14</v>
      </c>
      <c r="D17" s="31"/>
      <c r="E17" s="32"/>
      <c r="F17" s="2"/>
      <c r="G17" s="2"/>
      <c r="H17" s="2"/>
      <c r="I17" s="2"/>
    </row>
    <row r="18" spans="2:9" x14ac:dyDescent="0.3">
      <c r="B18" s="52"/>
      <c r="C18" s="3" t="s">
        <v>9</v>
      </c>
      <c r="D18" s="31" t="s">
        <v>34</v>
      </c>
      <c r="E18" s="32"/>
      <c r="F18" s="4" t="s">
        <v>11</v>
      </c>
      <c r="G18" s="5">
        <v>5</v>
      </c>
      <c r="H18" s="6">
        <v>1500000</v>
      </c>
      <c r="I18" s="6">
        <f>H18*G18</f>
        <v>7500000</v>
      </c>
    </row>
    <row r="19" spans="2:9" x14ac:dyDescent="0.3">
      <c r="B19" s="52"/>
      <c r="C19" s="3" t="s">
        <v>15</v>
      </c>
      <c r="D19" s="31" t="s">
        <v>35</v>
      </c>
      <c r="E19" s="32"/>
      <c r="F19" s="4" t="s">
        <v>11</v>
      </c>
      <c r="G19" s="5">
        <v>10</v>
      </c>
      <c r="H19" s="6">
        <v>1000000</v>
      </c>
      <c r="I19" s="6">
        <f>H19*G19</f>
        <v>10000000</v>
      </c>
    </row>
    <row r="20" spans="2:9" ht="33" customHeight="1" x14ac:dyDescent="0.3">
      <c r="B20" s="7"/>
      <c r="C20" s="3" t="s">
        <v>16</v>
      </c>
      <c r="D20" s="29" t="s">
        <v>17</v>
      </c>
      <c r="E20" s="30"/>
      <c r="F20" s="4" t="s">
        <v>11</v>
      </c>
      <c r="G20" s="5">
        <v>2</v>
      </c>
      <c r="H20" s="6">
        <v>1000000</v>
      </c>
      <c r="I20" s="6">
        <f>H20*G20</f>
        <v>2000000</v>
      </c>
    </row>
    <row r="21" spans="2:9" x14ac:dyDescent="0.3">
      <c r="B21" s="27" t="s">
        <v>18</v>
      </c>
      <c r="C21" s="27"/>
      <c r="D21" s="27"/>
      <c r="E21" s="27"/>
      <c r="F21" s="27"/>
      <c r="G21" s="27"/>
      <c r="H21" s="27"/>
      <c r="I21" s="8">
        <f>SUM(I15:I16,I18:I19,I20)</f>
        <v>26500000</v>
      </c>
    </row>
    <row r="22" spans="2:9" x14ac:dyDescent="0.3">
      <c r="B22" s="9" t="s">
        <v>19</v>
      </c>
      <c r="C22" s="35" t="s">
        <v>20</v>
      </c>
      <c r="D22" s="35"/>
      <c r="E22" s="35"/>
      <c r="F22" s="35"/>
      <c r="G22" s="35"/>
      <c r="H22" s="35"/>
      <c r="I22" s="35"/>
    </row>
    <row r="23" spans="2:9" x14ac:dyDescent="0.3">
      <c r="B23" s="4" t="s">
        <v>43</v>
      </c>
      <c r="C23" s="19" t="s">
        <v>61</v>
      </c>
      <c r="D23" s="23"/>
      <c r="E23" s="24"/>
      <c r="F23" s="5" t="s">
        <v>21</v>
      </c>
      <c r="G23" s="5">
        <v>1</v>
      </c>
      <c r="H23" s="6">
        <v>50000000</v>
      </c>
      <c r="I23" s="6">
        <f t="shared" ref="I23" si="0">H23*G23</f>
        <v>50000000</v>
      </c>
    </row>
    <row r="24" spans="2:9" x14ac:dyDescent="0.3">
      <c r="B24" s="4" t="s">
        <v>40</v>
      </c>
      <c r="C24" s="33" t="s">
        <v>39</v>
      </c>
      <c r="D24" s="29"/>
      <c r="E24" s="30"/>
      <c r="F24" s="5"/>
      <c r="G24" s="5"/>
      <c r="H24" s="6"/>
      <c r="I24" s="6"/>
    </row>
    <row r="25" spans="2:9" ht="24.6" customHeight="1" x14ac:dyDescent="0.3">
      <c r="B25" s="4"/>
      <c r="C25" s="15" t="s">
        <v>9</v>
      </c>
      <c r="D25" s="29" t="s">
        <v>56</v>
      </c>
      <c r="E25" s="30"/>
      <c r="F25" s="5" t="s">
        <v>22</v>
      </c>
      <c r="G25" s="5">
        <v>6</v>
      </c>
      <c r="H25" s="6">
        <v>250000</v>
      </c>
      <c r="I25" s="6">
        <f t="shared" ref="I25" si="1">H25*G25</f>
        <v>1500000</v>
      </c>
    </row>
    <row r="26" spans="2:9" ht="31.5" customHeight="1" x14ac:dyDescent="0.3">
      <c r="B26" s="4"/>
      <c r="C26" s="15" t="s">
        <v>12</v>
      </c>
      <c r="D26" s="29" t="s">
        <v>45</v>
      </c>
      <c r="E26" s="30"/>
      <c r="F26" s="5" t="s">
        <v>22</v>
      </c>
      <c r="G26" s="5">
        <v>6</v>
      </c>
      <c r="H26" s="6">
        <v>2750000</v>
      </c>
      <c r="I26" s="6">
        <f t="shared" ref="I26:I28" si="2">H26*G26</f>
        <v>16500000</v>
      </c>
    </row>
    <row r="27" spans="2:9" ht="19.2" customHeight="1" x14ac:dyDescent="0.3">
      <c r="B27" s="4"/>
      <c r="C27" s="15" t="s">
        <v>16</v>
      </c>
      <c r="D27" s="29" t="s">
        <v>41</v>
      </c>
      <c r="E27" s="30"/>
      <c r="F27" s="5" t="s">
        <v>23</v>
      </c>
      <c r="G27" s="5">
        <v>3</v>
      </c>
      <c r="H27" s="6">
        <v>650000</v>
      </c>
      <c r="I27" s="6">
        <f t="shared" si="2"/>
        <v>1950000</v>
      </c>
    </row>
    <row r="28" spans="2:9" ht="18.600000000000001" customHeight="1" x14ac:dyDescent="0.3">
      <c r="B28" s="20"/>
      <c r="C28" s="16" t="s">
        <v>24</v>
      </c>
      <c r="D28" s="31" t="s">
        <v>42</v>
      </c>
      <c r="E28" s="32"/>
      <c r="F28" s="14" t="s">
        <v>55</v>
      </c>
      <c r="G28" s="5">
        <v>2</v>
      </c>
      <c r="H28" s="6">
        <v>1500000</v>
      </c>
      <c r="I28" s="6">
        <f t="shared" si="2"/>
        <v>3000000</v>
      </c>
    </row>
    <row r="29" spans="2:9" ht="15" customHeight="1" x14ac:dyDescent="0.3">
      <c r="B29" s="4" t="s">
        <v>57</v>
      </c>
      <c r="C29" s="33" t="s">
        <v>44</v>
      </c>
      <c r="D29" s="29"/>
      <c r="E29" s="30"/>
      <c r="F29" s="11"/>
      <c r="G29" s="5"/>
      <c r="H29" s="5"/>
      <c r="I29" s="6"/>
    </row>
    <row r="30" spans="2:9" ht="22.2" customHeight="1" x14ac:dyDescent="0.3">
      <c r="B30" s="4"/>
      <c r="C30" s="15"/>
      <c r="D30" s="10" t="s">
        <v>9</v>
      </c>
      <c r="E30" s="22" t="s">
        <v>56</v>
      </c>
      <c r="F30" s="22"/>
      <c r="G30" s="5">
        <v>6</v>
      </c>
      <c r="H30" s="6">
        <f>H25</f>
        <v>250000</v>
      </c>
      <c r="I30" s="6">
        <f t="shared" ref="I30" si="3">H30*G30</f>
        <v>1500000</v>
      </c>
    </row>
    <row r="31" spans="2:9" ht="27.6" x14ac:dyDescent="0.3">
      <c r="B31" s="4"/>
      <c r="C31" s="3"/>
      <c r="D31" s="10" t="s">
        <v>12</v>
      </c>
      <c r="E31" s="11" t="s">
        <v>36</v>
      </c>
      <c r="F31" s="2" t="s">
        <v>22</v>
      </c>
      <c r="G31" s="5">
        <v>6</v>
      </c>
      <c r="H31" s="6">
        <f>H26</f>
        <v>2750000</v>
      </c>
      <c r="I31" s="6">
        <f t="shared" ref="I31:I35" si="4">H31*G31</f>
        <v>16500000</v>
      </c>
    </row>
    <row r="32" spans="2:9" ht="22.2" customHeight="1" x14ac:dyDescent="0.3">
      <c r="B32" s="4"/>
      <c r="C32" s="3"/>
      <c r="D32" s="10" t="s">
        <v>16</v>
      </c>
      <c r="E32" s="11" t="s">
        <v>37</v>
      </c>
      <c r="F32" s="2" t="s">
        <v>23</v>
      </c>
      <c r="G32" s="5">
        <v>12</v>
      </c>
      <c r="H32" s="6">
        <v>650000</v>
      </c>
      <c r="I32" s="6">
        <f t="shared" si="4"/>
        <v>7800000</v>
      </c>
    </row>
    <row r="33" spans="2:11" ht="27.6" x14ac:dyDescent="0.3">
      <c r="B33" s="4"/>
      <c r="C33" s="3"/>
      <c r="D33" s="10" t="s">
        <v>24</v>
      </c>
      <c r="E33" s="11" t="s">
        <v>38</v>
      </c>
      <c r="F33" s="14" t="s">
        <v>55</v>
      </c>
      <c r="G33" s="5">
        <v>5</v>
      </c>
      <c r="H33" s="6">
        <f>H28</f>
        <v>1500000</v>
      </c>
      <c r="I33" s="6">
        <f t="shared" si="4"/>
        <v>7500000</v>
      </c>
    </row>
    <row r="34" spans="2:11" ht="32.25" customHeight="1" x14ac:dyDescent="0.3">
      <c r="B34" s="4"/>
      <c r="C34" s="3">
        <v>2</v>
      </c>
      <c r="D34" s="29" t="s">
        <v>25</v>
      </c>
      <c r="E34" s="30"/>
      <c r="F34" s="2" t="s">
        <v>26</v>
      </c>
      <c r="G34" s="2">
        <v>1</v>
      </c>
      <c r="H34" s="6">
        <v>50000000</v>
      </c>
      <c r="I34" s="6">
        <f t="shared" si="4"/>
        <v>50000000</v>
      </c>
    </row>
    <row r="35" spans="2:11" ht="32.25" customHeight="1" x14ac:dyDescent="0.3">
      <c r="B35" s="4"/>
      <c r="C35" s="3">
        <v>3</v>
      </c>
      <c r="D35" s="29" t="s">
        <v>27</v>
      </c>
      <c r="E35" s="30"/>
      <c r="F35" s="2" t="s">
        <v>28</v>
      </c>
      <c r="G35" s="2">
        <v>1</v>
      </c>
      <c r="H35" s="6">
        <v>25000000</v>
      </c>
      <c r="I35" s="6">
        <f t="shared" si="4"/>
        <v>25000000</v>
      </c>
    </row>
    <row r="36" spans="2:11" ht="33.75" customHeight="1" x14ac:dyDescent="0.3">
      <c r="B36" s="4"/>
      <c r="C36" s="3">
        <v>4</v>
      </c>
      <c r="D36" s="29" t="s">
        <v>29</v>
      </c>
      <c r="E36" s="30"/>
      <c r="F36" s="5" t="s">
        <v>21</v>
      </c>
      <c r="G36" s="5">
        <v>1</v>
      </c>
      <c r="H36" s="6">
        <v>25000000</v>
      </c>
      <c r="I36" s="6">
        <f>H36*G36</f>
        <v>25000000</v>
      </c>
    </row>
    <row r="37" spans="2:11" x14ac:dyDescent="0.3">
      <c r="B37" s="4" t="s">
        <v>58</v>
      </c>
      <c r="C37" s="26" t="s">
        <v>30</v>
      </c>
      <c r="D37" s="26"/>
      <c r="E37" s="26"/>
      <c r="F37" s="5" t="s">
        <v>21</v>
      </c>
      <c r="G37" s="5">
        <v>1</v>
      </c>
      <c r="H37" s="6">
        <v>5000000</v>
      </c>
      <c r="I37" s="6">
        <f>H37*G37</f>
        <v>5000000</v>
      </c>
    </row>
    <row r="38" spans="2:11" x14ac:dyDescent="0.3">
      <c r="B38" s="4" t="s">
        <v>59</v>
      </c>
      <c r="C38" s="26" t="s">
        <v>31</v>
      </c>
      <c r="D38" s="26"/>
      <c r="E38" s="26"/>
      <c r="F38" s="5" t="s">
        <v>21</v>
      </c>
      <c r="G38" s="5">
        <v>1</v>
      </c>
      <c r="H38" s="6">
        <v>4500000</v>
      </c>
      <c r="I38" s="6">
        <f>H38*G38</f>
        <v>4500000</v>
      </c>
    </row>
    <row r="39" spans="2:11" ht="21" customHeight="1" x14ac:dyDescent="0.3">
      <c r="B39" s="4" t="s">
        <v>60</v>
      </c>
      <c r="C39" s="26" t="s">
        <v>54</v>
      </c>
      <c r="D39" s="26"/>
      <c r="E39" s="26"/>
      <c r="F39" s="5" t="s">
        <v>21</v>
      </c>
      <c r="G39" s="5">
        <v>1</v>
      </c>
      <c r="H39" s="6">
        <v>5000000</v>
      </c>
      <c r="I39" s="6">
        <f>H39*G39</f>
        <v>5000000</v>
      </c>
    </row>
    <row r="40" spans="2:11" x14ac:dyDescent="0.3">
      <c r="B40" s="27" t="s">
        <v>32</v>
      </c>
      <c r="C40" s="27"/>
      <c r="D40" s="27"/>
      <c r="E40" s="27"/>
      <c r="F40" s="27"/>
      <c r="G40" s="27"/>
      <c r="H40" s="27"/>
      <c r="I40" s="12">
        <f>SUM(I23:I39)</f>
        <v>220750000</v>
      </c>
      <c r="K40" s="8">
        <f>197250000+50000000</f>
        <v>247250000</v>
      </c>
    </row>
    <row r="41" spans="2:11" ht="20.399999999999999" customHeight="1" x14ac:dyDescent="0.3">
      <c r="B41" s="28" t="s">
        <v>33</v>
      </c>
      <c r="C41" s="28"/>
      <c r="D41" s="28"/>
      <c r="E41" s="28"/>
      <c r="F41" s="28"/>
      <c r="G41" s="28"/>
      <c r="H41" s="28"/>
      <c r="I41" s="25">
        <f>+I40+I21</f>
        <v>247250000</v>
      </c>
      <c r="K41" s="21"/>
    </row>
    <row r="42" spans="2:11" ht="22.2" customHeight="1" x14ac:dyDescent="0.3">
      <c r="B42" s="54" t="s">
        <v>62</v>
      </c>
      <c r="C42" s="55"/>
      <c r="D42" s="55"/>
      <c r="E42" s="55"/>
      <c r="F42" s="55"/>
      <c r="G42" s="55"/>
      <c r="H42" s="55"/>
      <c r="I42" s="56"/>
    </row>
    <row r="45" spans="2:11" s="17" customFormat="1" ht="13.8" x14ac:dyDescent="0.25">
      <c r="B45" s="39" t="s">
        <v>50</v>
      </c>
      <c r="C45" s="39"/>
      <c r="D45" s="39"/>
      <c r="E45" s="39"/>
      <c r="F45" s="39"/>
      <c r="G45" s="39"/>
      <c r="H45" s="39"/>
      <c r="I45" s="39"/>
    </row>
    <row r="46" spans="2:11" s="17" customFormat="1" ht="13.8" x14ac:dyDescent="0.25">
      <c r="B46" s="39"/>
      <c r="C46" s="39"/>
      <c r="D46" s="39"/>
      <c r="E46" s="39"/>
      <c r="F46" s="39"/>
      <c r="G46" s="39"/>
      <c r="H46" s="39"/>
      <c r="I46" s="39"/>
    </row>
    <row r="47" spans="2:11" s="17" customFormat="1" ht="13.8" x14ac:dyDescent="0.25">
      <c r="B47" s="39" t="s">
        <v>63</v>
      </c>
      <c r="C47" s="39"/>
      <c r="D47" s="39"/>
      <c r="E47" s="39"/>
      <c r="F47" s="39"/>
      <c r="G47" s="39"/>
      <c r="H47" s="39"/>
      <c r="I47" s="39"/>
    </row>
    <row r="48" spans="2:11" s="17" customFormat="1" ht="13.8" x14ac:dyDescent="0.25">
      <c r="B48" s="60" t="s">
        <v>64</v>
      </c>
      <c r="C48" s="60"/>
      <c r="D48" s="60"/>
      <c r="E48" s="60"/>
      <c r="F48" s="60"/>
      <c r="G48" s="60"/>
      <c r="H48" s="60"/>
      <c r="I48" s="60"/>
    </row>
    <row r="49" spans="2:11" s="17" customFormat="1" ht="13.8" x14ac:dyDescent="0.25">
      <c r="B49" s="39"/>
      <c r="C49" s="39"/>
      <c r="D49" s="39"/>
      <c r="E49" s="39"/>
      <c r="F49" s="39"/>
      <c r="G49" s="39"/>
      <c r="H49" s="39"/>
      <c r="I49" s="39"/>
    </row>
    <row r="50" spans="2:11" s="17" customFormat="1" ht="13.8" x14ac:dyDescent="0.25">
      <c r="K50" s="17" t="s">
        <v>53</v>
      </c>
    </row>
    <row r="51" spans="2:11" s="17" customFormat="1" ht="13.8" x14ac:dyDescent="0.25">
      <c r="B51" s="39"/>
      <c r="C51" s="39"/>
      <c r="D51" s="39"/>
      <c r="E51" s="39"/>
      <c r="F51" s="39"/>
      <c r="G51" s="39"/>
      <c r="H51" s="39"/>
      <c r="I51" s="39"/>
    </row>
    <row r="52" spans="2:11" s="17" customFormat="1" ht="13.8" x14ac:dyDescent="0.25"/>
    <row r="53" spans="2:11" s="17" customFormat="1" ht="13.8" x14ac:dyDescent="0.25">
      <c r="B53" s="39"/>
      <c r="C53" s="39"/>
      <c r="D53" s="39"/>
      <c r="E53" s="39"/>
      <c r="F53" s="39"/>
      <c r="G53" s="39"/>
      <c r="H53" s="39"/>
      <c r="I53" s="39"/>
    </row>
    <row r="54" spans="2:11" s="17" customFormat="1" ht="13.8" x14ac:dyDescent="0.25">
      <c r="B54" s="58" t="s">
        <v>51</v>
      </c>
      <c r="C54" s="58"/>
      <c r="D54" s="58"/>
      <c r="E54" s="18"/>
      <c r="F54" s="18"/>
      <c r="G54" s="18"/>
      <c r="H54" s="18"/>
      <c r="I54" s="18"/>
    </row>
    <row r="55" spans="2:11" s="17" customFormat="1" ht="13.8" x14ac:dyDescent="0.25">
      <c r="B55" s="59" t="s">
        <v>52</v>
      </c>
      <c r="C55" s="59"/>
      <c r="D55" s="59"/>
    </row>
    <row r="59" spans="2:11" x14ac:dyDescent="0.3">
      <c r="B59" s="57"/>
      <c r="C59" s="57"/>
      <c r="D59" s="57"/>
      <c r="E59" s="57"/>
      <c r="F59" s="57"/>
      <c r="G59" s="57"/>
      <c r="H59" s="57"/>
      <c r="I59" s="57"/>
    </row>
    <row r="60" spans="2:11" x14ac:dyDescent="0.3">
      <c r="B60" s="57"/>
      <c r="C60" s="57"/>
      <c r="D60" s="57"/>
      <c r="E60" s="57"/>
      <c r="F60" s="57"/>
      <c r="G60" s="57"/>
      <c r="H60" s="57"/>
      <c r="I60" s="57"/>
    </row>
    <row r="61" spans="2:11" x14ac:dyDescent="0.3">
      <c r="B61" s="57"/>
      <c r="C61" s="57"/>
      <c r="D61" s="57"/>
      <c r="E61" s="57"/>
      <c r="F61" s="57"/>
      <c r="G61" s="57"/>
      <c r="H61" s="57"/>
      <c r="I61" s="57"/>
    </row>
    <row r="62" spans="2:11" x14ac:dyDescent="0.3">
      <c r="B62" s="57"/>
      <c r="C62" s="57"/>
      <c r="D62" s="57"/>
      <c r="E62" s="57"/>
      <c r="F62" s="57"/>
      <c r="G62" s="57"/>
      <c r="H62" s="57"/>
      <c r="I62" s="57"/>
    </row>
  </sheetData>
  <mergeCells count="47">
    <mergeCell ref="B42:I42"/>
    <mergeCell ref="B47:I47"/>
    <mergeCell ref="B62:I62"/>
    <mergeCell ref="B54:D54"/>
    <mergeCell ref="B55:D55"/>
    <mergeCell ref="B59:I59"/>
    <mergeCell ref="B60:I60"/>
    <mergeCell ref="B61:I61"/>
    <mergeCell ref="B51:I51"/>
    <mergeCell ref="B53:I53"/>
    <mergeCell ref="B46:I46"/>
    <mergeCell ref="B48:I48"/>
    <mergeCell ref="B49:I49"/>
    <mergeCell ref="B10:I10"/>
    <mergeCell ref="B11:I11"/>
    <mergeCell ref="B45:I45"/>
    <mergeCell ref="B3:I6"/>
    <mergeCell ref="B7:I7"/>
    <mergeCell ref="B8:I8"/>
    <mergeCell ref="B9:I9"/>
    <mergeCell ref="D36:E36"/>
    <mergeCell ref="C22:I22"/>
    <mergeCell ref="D34:E34"/>
    <mergeCell ref="D35:E35"/>
    <mergeCell ref="B17:B19"/>
    <mergeCell ref="C17:E17"/>
    <mergeCell ref="D18:E18"/>
    <mergeCell ref="D19:E19"/>
    <mergeCell ref="D20:E20"/>
    <mergeCell ref="B21:H21"/>
    <mergeCell ref="C12:E12"/>
    <mergeCell ref="C13:I13"/>
    <mergeCell ref="C37:E37"/>
    <mergeCell ref="B14:B16"/>
    <mergeCell ref="C14:E14"/>
    <mergeCell ref="D15:E15"/>
    <mergeCell ref="D16:E16"/>
    <mergeCell ref="C24:E24"/>
    <mergeCell ref="D25:E25"/>
    <mergeCell ref="C39:E39"/>
    <mergeCell ref="B40:H40"/>
    <mergeCell ref="B41:H41"/>
    <mergeCell ref="D26:E26"/>
    <mergeCell ref="D27:E27"/>
    <mergeCell ref="D28:E28"/>
    <mergeCell ref="C29:E29"/>
    <mergeCell ref="C38:E38"/>
  </mergeCells>
  <pageMargins left="0.70866141732283472" right="0.51181102362204722" top="0.74803149606299213" bottom="0.35433070866141736" header="0.31496062992125984" footer="0.31496062992125984"/>
  <pageSetup paperSize="9" scale="75" orientation="portrait" horizontalDpi="4294967292"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4B30F-958D-4730-BC2D-D36E590F89E5}">
  <dimension ref="B3:K62"/>
  <sheetViews>
    <sheetView tabSelected="1" topLeftCell="A28" workbookViewId="0">
      <selection activeCell="H39" sqref="H39"/>
    </sheetView>
  </sheetViews>
  <sheetFormatPr defaultRowHeight="14.4" x14ac:dyDescent="0.3"/>
  <cols>
    <col min="2" max="2" width="7.33203125" customWidth="1"/>
    <col min="3" max="3" width="7.109375" customWidth="1"/>
    <col min="4" max="4" width="6.44140625" customWidth="1"/>
    <col min="5" max="5" width="29.44140625" customWidth="1"/>
    <col min="6" max="6" width="11.6640625" customWidth="1"/>
    <col min="7" max="7" width="11.109375" customWidth="1"/>
    <col min="8" max="8" width="21.6640625" customWidth="1"/>
    <col min="9" max="9" width="20.109375" customWidth="1"/>
    <col min="11" max="11" width="16.44140625" customWidth="1"/>
  </cols>
  <sheetData>
    <row r="3" spans="2:9" ht="15.75" customHeight="1" x14ac:dyDescent="0.3">
      <c r="B3" s="40" t="s">
        <v>46</v>
      </c>
      <c r="C3" s="41"/>
      <c r="D3" s="41"/>
      <c r="E3" s="41"/>
      <c r="F3" s="41"/>
      <c r="G3" s="41"/>
      <c r="H3" s="41"/>
      <c r="I3" s="42"/>
    </row>
    <row r="4" spans="2:9" ht="15.75" customHeight="1" x14ac:dyDescent="0.3">
      <c r="B4" s="43"/>
      <c r="C4" s="44"/>
      <c r="D4" s="44"/>
      <c r="E4" s="44"/>
      <c r="F4" s="44"/>
      <c r="G4" s="44"/>
      <c r="H4" s="44"/>
      <c r="I4" s="45"/>
    </row>
    <row r="5" spans="2:9" ht="15.75" customHeight="1" x14ac:dyDescent="0.3">
      <c r="B5" s="43"/>
      <c r="C5" s="44"/>
      <c r="D5" s="44"/>
      <c r="E5" s="44"/>
      <c r="F5" s="44"/>
      <c r="G5" s="44"/>
      <c r="H5" s="44"/>
      <c r="I5" s="45"/>
    </row>
    <row r="6" spans="2:9" ht="15.75" customHeight="1" x14ac:dyDescent="0.3">
      <c r="B6" s="46"/>
      <c r="C6" s="47"/>
      <c r="D6" s="47"/>
      <c r="E6" s="47"/>
      <c r="F6" s="47"/>
      <c r="G6" s="47"/>
      <c r="H6" s="47"/>
      <c r="I6" s="48"/>
    </row>
    <row r="7" spans="2:9" x14ac:dyDescent="0.3">
      <c r="B7" s="49"/>
      <c r="C7" s="49"/>
      <c r="D7" s="49"/>
      <c r="E7" s="49"/>
      <c r="F7" s="49"/>
      <c r="G7" s="49"/>
      <c r="H7" s="49"/>
      <c r="I7" s="49"/>
    </row>
    <row r="8" spans="2:9" s="17" customFormat="1" ht="13.8" x14ac:dyDescent="0.25">
      <c r="B8" s="50" t="s">
        <v>47</v>
      </c>
      <c r="C8" s="50"/>
      <c r="D8" s="50"/>
      <c r="E8" s="50"/>
      <c r="F8" s="50"/>
      <c r="G8" s="50"/>
      <c r="H8" s="50"/>
      <c r="I8" s="50"/>
    </row>
    <row r="9" spans="2:9" s="17" customFormat="1" ht="13.8" x14ac:dyDescent="0.25">
      <c r="B9" s="50" t="s">
        <v>48</v>
      </c>
      <c r="C9" s="50"/>
      <c r="D9" s="50"/>
      <c r="E9" s="50"/>
      <c r="F9" s="50"/>
      <c r="G9" s="50"/>
      <c r="H9" s="50"/>
      <c r="I9" s="50"/>
    </row>
    <row r="10" spans="2:9" s="17" customFormat="1" ht="39.75" customHeight="1" x14ac:dyDescent="0.25">
      <c r="B10" s="37" t="s">
        <v>49</v>
      </c>
      <c r="C10" s="37"/>
      <c r="D10" s="37"/>
      <c r="E10" s="37"/>
      <c r="F10" s="37"/>
      <c r="G10" s="37"/>
      <c r="H10" s="37"/>
      <c r="I10" s="37"/>
    </row>
    <row r="11" spans="2:9" x14ac:dyDescent="0.3">
      <c r="B11" s="38"/>
      <c r="C11" s="38"/>
      <c r="D11" s="38"/>
      <c r="E11" s="38"/>
      <c r="F11" s="38"/>
      <c r="G11" s="38"/>
      <c r="H11" s="38"/>
      <c r="I11" s="38"/>
    </row>
    <row r="12" spans="2:9" x14ac:dyDescent="0.3">
      <c r="B12" s="13" t="s">
        <v>0</v>
      </c>
      <c r="C12" s="34" t="s">
        <v>1</v>
      </c>
      <c r="D12" s="34"/>
      <c r="E12" s="34"/>
      <c r="F12" s="13" t="s">
        <v>2</v>
      </c>
      <c r="G12" s="13" t="s">
        <v>3</v>
      </c>
      <c r="H12" s="13" t="s">
        <v>4</v>
      </c>
      <c r="I12" s="13" t="s">
        <v>5</v>
      </c>
    </row>
    <row r="13" spans="2:9" x14ac:dyDescent="0.3">
      <c r="B13" s="1" t="s">
        <v>6</v>
      </c>
      <c r="C13" s="35" t="s">
        <v>7</v>
      </c>
      <c r="D13" s="35"/>
      <c r="E13" s="35"/>
      <c r="F13" s="35"/>
      <c r="G13" s="35"/>
      <c r="H13" s="35"/>
      <c r="I13" s="35"/>
    </row>
    <row r="14" spans="2:9" x14ac:dyDescent="0.3">
      <c r="B14" s="36">
        <v>1</v>
      </c>
      <c r="C14" s="26" t="s">
        <v>8</v>
      </c>
      <c r="D14" s="26"/>
      <c r="E14" s="26"/>
      <c r="F14" s="2"/>
      <c r="G14" s="2"/>
      <c r="H14" s="2"/>
      <c r="I14" s="2"/>
    </row>
    <row r="15" spans="2:9" x14ac:dyDescent="0.3">
      <c r="B15" s="36"/>
      <c r="C15" s="3" t="s">
        <v>9</v>
      </c>
      <c r="D15" s="31" t="s">
        <v>10</v>
      </c>
      <c r="E15" s="32"/>
      <c r="F15" s="4" t="s">
        <v>11</v>
      </c>
      <c r="G15" s="5">
        <v>2</v>
      </c>
      <c r="H15" s="6">
        <v>1500000</v>
      </c>
      <c r="I15" s="6">
        <f>H15*G15</f>
        <v>3000000</v>
      </c>
    </row>
    <row r="16" spans="2:9" x14ac:dyDescent="0.3">
      <c r="B16" s="36"/>
      <c r="C16" s="3" t="s">
        <v>12</v>
      </c>
      <c r="D16" s="31" t="s">
        <v>13</v>
      </c>
      <c r="E16" s="32"/>
      <c r="F16" s="4" t="s">
        <v>11</v>
      </c>
      <c r="G16" s="5">
        <v>4</v>
      </c>
      <c r="H16" s="6">
        <v>1000000</v>
      </c>
      <c r="I16" s="6">
        <f>H16*G16</f>
        <v>4000000</v>
      </c>
    </row>
    <row r="17" spans="2:9" x14ac:dyDescent="0.3">
      <c r="B17" s="51">
        <v>2</v>
      </c>
      <c r="C17" s="53" t="s">
        <v>14</v>
      </c>
      <c r="D17" s="31"/>
      <c r="E17" s="32"/>
      <c r="F17" s="2"/>
      <c r="G17" s="2"/>
      <c r="H17" s="2"/>
      <c r="I17" s="2"/>
    </row>
    <row r="18" spans="2:9" x14ac:dyDescent="0.3">
      <c r="B18" s="52"/>
      <c r="C18" s="3" t="s">
        <v>9</v>
      </c>
      <c r="D18" s="31" t="s">
        <v>34</v>
      </c>
      <c r="E18" s="32"/>
      <c r="F18" s="4" t="s">
        <v>11</v>
      </c>
      <c r="G18" s="5">
        <v>5</v>
      </c>
      <c r="H18" s="6">
        <v>1500000</v>
      </c>
      <c r="I18" s="6">
        <f>H18*G18</f>
        <v>7500000</v>
      </c>
    </row>
    <row r="19" spans="2:9" x14ac:dyDescent="0.3">
      <c r="B19" s="52"/>
      <c r="C19" s="3" t="s">
        <v>15</v>
      </c>
      <c r="D19" s="31" t="s">
        <v>35</v>
      </c>
      <c r="E19" s="32"/>
      <c r="F19" s="4" t="s">
        <v>11</v>
      </c>
      <c r="G19" s="5">
        <v>10</v>
      </c>
      <c r="H19" s="6">
        <v>1000000</v>
      </c>
      <c r="I19" s="6">
        <f>H19*G19</f>
        <v>10000000</v>
      </c>
    </row>
    <row r="20" spans="2:9" ht="33" customHeight="1" x14ac:dyDescent="0.3">
      <c r="B20" s="7"/>
      <c r="C20" s="3" t="s">
        <v>16</v>
      </c>
      <c r="D20" s="29" t="s">
        <v>17</v>
      </c>
      <c r="E20" s="30"/>
      <c r="F20" s="4" t="s">
        <v>11</v>
      </c>
      <c r="G20" s="5">
        <v>2</v>
      </c>
      <c r="H20" s="6">
        <v>1000000</v>
      </c>
      <c r="I20" s="6">
        <f>H20*G20</f>
        <v>2000000</v>
      </c>
    </row>
    <row r="21" spans="2:9" x14ac:dyDescent="0.3">
      <c r="B21" s="27" t="s">
        <v>18</v>
      </c>
      <c r="C21" s="27"/>
      <c r="D21" s="27"/>
      <c r="E21" s="27"/>
      <c r="F21" s="27"/>
      <c r="G21" s="27"/>
      <c r="H21" s="27"/>
      <c r="I21" s="8">
        <f>SUM(I15:I16,I18:I19,I20)</f>
        <v>26500000</v>
      </c>
    </row>
    <row r="22" spans="2:9" x14ac:dyDescent="0.3">
      <c r="B22" s="9" t="s">
        <v>19</v>
      </c>
      <c r="C22" s="35" t="s">
        <v>20</v>
      </c>
      <c r="D22" s="35"/>
      <c r="E22" s="35"/>
      <c r="F22" s="35"/>
      <c r="G22" s="35"/>
      <c r="H22" s="35"/>
      <c r="I22" s="35"/>
    </row>
    <row r="23" spans="2:9" x14ac:dyDescent="0.3">
      <c r="B23" s="4" t="s">
        <v>43</v>
      </c>
      <c r="C23" s="19" t="s">
        <v>61</v>
      </c>
      <c r="D23" s="23"/>
      <c r="E23" s="24"/>
      <c r="F23" s="5" t="s">
        <v>21</v>
      </c>
      <c r="G23" s="5">
        <v>1</v>
      </c>
      <c r="H23" s="6">
        <v>50000000</v>
      </c>
      <c r="I23" s="6">
        <f t="shared" ref="I23" si="0">H23*G23</f>
        <v>50000000</v>
      </c>
    </row>
    <row r="24" spans="2:9" x14ac:dyDescent="0.3">
      <c r="B24" s="4" t="s">
        <v>40</v>
      </c>
      <c r="C24" s="33" t="s">
        <v>39</v>
      </c>
      <c r="D24" s="29"/>
      <c r="E24" s="30"/>
      <c r="F24" s="5"/>
      <c r="G24" s="5"/>
      <c r="H24" s="6"/>
      <c r="I24" s="6"/>
    </row>
    <row r="25" spans="2:9" ht="24.6" customHeight="1" x14ac:dyDescent="0.3">
      <c r="B25" s="4"/>
      <c r="C25" s="15" t="s">
        <v>9</v>
      </c>
      <c r="D25" s="29" t="s">
        <v>56</v>
      </c>
      <c r="E25" s="30"/>
      <c r="F25" s="5" t="s">
        <v>22</v>
      </c>
      <c r="G25" s="5">
        <v>6</v>
      </c>
      <c r="H25" s="6">
        <v>250000</v>
      </c>
      <c r="I25" s="6">
        <f t="shared" ref="I25:I28" si="1">H25*G25</f>
        <v>1500000</v>
      </c>
    </row>
    <row r="26" spans="2:9" ht="31.5" customHeight="1" x14ac:dyDescent="0.3">
      <c r="B26" s="4"/>
      <c r="C26" s="15" t="s">
        <v>12</v>
      </c>
      <c r="D26" s="29" t="s">
        <v>45</v>
      </c>
      <c r="E26" s="30"/>
      <c r="F26" s="5" t="s">
        <v>22</v>
      </c>
      <c r="G26" s="5">
        <v>6</v>
      </c>
      <c r="H26" s="6">
        <v>2750000</v>
      </c>
      <c r="I26" s="6">
        <f t="shared" si="1"/>
        <v>16500000</v>
      </c>
    </row>
    <row r="27" spans="2:9" ht="19.2" customHeight="1" x14ac:dyDescent="0.3">
      <c r="B27" s="4"/>
      <c r="C27" s="15" t="s">
        <v>16</v>
      </c>
      <c r="D27" s="29" t="s">
        <v>41</v>
      </c>
      <c r="E27" s="30"/>
      <c r="F27" s="5" t="s">
        <v>23</v>
      </c>
      <c r="G27" s="5">
        <v>3</v>
      </c>
      <c r="H27" s="6">
        <v>650000</v>
      </c>
      <c r="I27" s="6">
        <f t="shared" si="1"/>
        <v>1950000</v>
      </c>
    </row>
    <row r="28" spans="2:9" ht="18.600000000000001" customHeight="1" x14ac:dyDescent="0.3">
      <c r="B28" s="20"/>
      <c r="C28" s="16" t="s">
        <v>24</v>
      </c>
      <c r="D28" s="31" t="s">
        <v>42</v>
      </c>
      <c r="E28" s="32"/>
      <c r="F28" s="14" t="s">
        <v>55</v>
      </c>
      <c r="G28" s="5">
        <v>2</v>
      </c>
      <c r="H28" s="6">
        <v>1500000</v>
      </c>
      <c r="I28" s="6">
        <f t="shared" si="1"/>
        <v>3000000</v>
      </c>
    </row>
    <row r="29" spans="2:9" ht="15" customHeight="1" x14ac:dyDescent="0.3">
      <c r="B29" s="4" t="s">
        <v>57</v>
      </c>
      <c r="C29" s="33" t="s">
        <v>44</v>
      </c>
      <c r="D29" s="29"/>
      <c r="E29" s="30"/>
      <c r="F29" s="11"/>
      <c r="G29" s="5"/>
      <c r="H29" s="5"/>
      <c r="I29" s="6"/>
    </row>
    <row r="30" spans="2:9" ht="22.2" customHeight="1" x14ac:dyDescent="0.3">
      <c r="B30" s="4"/>
      <c r="C30" s="15"/>
      <c r="D30" s="10" t="s">
        <v>9</v>
      </c>
      <c r="E30" s="22" t="s">
        <v>56</v>
      </c>
      <c r="F30" s="22"/>
      <c r="G30" s="5">
        <v>6</v>
      </c>
      <c r="H30" s="6">
        <f>H25</f>
        <v>250000</v>
      </c>
      <c r="I30" s="6">
        <f t="shared" ref="I30:I35" si="2">H30*G30</f>
        <v>1500000</v>
      </c>
    </row>
    <row r="31" spans="2:9" ht="27.6" x14ac:dyDescent="0.3">
      <c r="B31" s="4"/>
      <c r="C31" s="3"/>
      <c r="D31" s="10" t="s">
        <v>12</v>
      </c>
      <c r="E31" s="11" t="s">
        <v>36</v>
      </c>
      <c r="F31" s="2" t="s">
        <v>22</v>
      </c>
      <c r="G31" s="5">
        <v>6</v>
      </c>
      <c r="H31" s="6">
        <f>H26</f>
        <v>2750000</v>
      </c>
      <c r="I31" s="6">
        <f t="shared" si="2"/>
        <v>16500000</v>
      </c>
    </row>
    <row r="32" spans="2:9" ht="22.2" customHeight="1" x14ac:dyDescent="0.3">
      <c r="B32" s="4"/>
      <c r="C32" s="3"/>
      <c r="D32" s="10" t="s">
        <v>16</v>
      </c>
      <c r="E32" s="11" t="s">
        <v>37</v>
      </c>
      <c r="F32" s="2" t="s">
        <v>23</v>
      </c>
      <c r="G32" s="5">
        <v>12</v>
      </c>
      <c r="H32" s="6">
        <v>650000</v>
      </c>
      <c r="I32" s="6">
        <f t="shared" si="2"/>
        <v>7800000</v>
      </c>
    </row>
    <row r="33" spans="2:11" ht="27.6" x14ac:dyDescent="0.3">
      <c r="B33" s="4"/>
      <c r="C33" s="3"/>
      <c r="D33" s="10" t="s">
        <v>24</v>
      </c>
      <c r="E33" s="11" t="s">
        <v>38</v>
      </c>
      <c r="F33" s="14" t="s">
        <v>55</v>
      </c>
      <c r="G33" s="5">
        <v>5</v>
      </c>
      <c r="H33" s="6">
        <f>H28</f>
        <v>1500000</v>
      </c>
      <c r="I33" s="6">
        <f t="shared" si="2"/>
        <v>7500000</v>
      </c>
    </row>
    <row r="34" spans="2:11" ht="32.25" customHeight="1" x14ac:dyDescent="0.3">
      <c r="B34" s="4"/>
      <c r="C34" s="3">
        <v>2</v>
      </c>
      <c r="D34" s="29" t="s">
        <v>25</v>
      </c>
      <c r="E34" s="30"/>
      <c r="F34" s="2" t="s">
        <v>26</v>
      </c>
      <c r="G34" s="2">
        <v>1</v>
      </c>
      <c r="H34" s="6">
        <v>32500000</v>
      </c>
      <c r="I34" s="6">
        <f t="shared" si="2"/>
        <v>32500000</v>
      </c>
    </row>
    <row r="35" spans="2:11" ht="32.25" customHeight="1" x14ac:dyDescent="0.3">
      <c r="B35" s="4"/>
      <c r="C35" s="3">
        <v>3</v>
      </c>
      <c r="D35" s="29" t="s">
        <v>27</v>
      </c>
      <c r="E35" s="30"/>
      <c r="F35" s="2" t="s">
        <v>28</v>
      </c>
      <c r="G35" s="2">
        <v>1</v>
      </c>
      <c r="H35" s="6">
        <v>25000000</v>
      </c>
      <c r="I35" s="6">
        <f t="shared" si="2"/>
        <v>25000000</v>
      </c>
    </row>
    <row r="36" spans="2:11" ht="33.75" customHeight="1" x14ac:dyDescent="0.3">
      <c r="B36" s="4"/>
      <c r="C36" s="3">
        <v>4</v>
      </c>
      <c r="D36" s="29" t="s">
        <v>29</v>
      </c>
      <c r="E36" s="30"/>
      <c r="F36" s="5" t="s">
        <v>21</v>
      </c>
      <c r="G36" s="5">
        <v>1</v>
      </c>
      <c r="H36" s="6">
        <v>25000000</v>
      </c>
      <c r="I36" s="6">
        <f>H36*G36</f>
        <v>25000000</v>
      </c>
    </row>
    <row r="37" spans="2:11" x14ac:dyDescent="0.3">
      <c r="B37" s="4" t="s">
        <v>58</v>
      </c>
      <c r="C37" s="26" t="s">
        <v>30</v>
      </c>
      <c r="D37" s="26"/>
      <c r="E37" s="26"/>
      <c r="F37" s="5" t="s">
        <v>21</v>
      </c>
      <c r="G37" s="5">
        <v>1</v>
      </c>
      <c r="H37" s="6">
        <v>5000000</v>
      </c>
      <c r="I37" s="6">
        <f>H37*G37</f>
        <v>5000000</v>
      </c>
    </row>
    <row r="38" spans="2:11" x14ac:dyDescent="0.3">
      <c r="B38" s="4" t="s">
        <v>59</v>
      </c>
      <c r="C38" s="26" t="s">
        <v>31</v>
      </c>
      <c r="D38" s="26"/>
      <c r="E38" s="26"/>
      <c r="F38" s="5" t="s">
        <v>21</v>
      </c>
      <c r="G38" s="5">
        <v>1</v>
      </c>
      <c r="H38" s="6">
        <v>4750000</v>
      </c>
      <c r="I38" s="6">
        <f>H38*G38</f>
        <v>4750000</v>
      </c>
    </row>
    <row r="39" spans="2:11" ht="21" customHeight="1" x14ac:dyDescent="0.3">
      <c r="B39" s="4" t="s">
        <v>60</v>
      </c>
      <c r="C39" s="26" t="s">
        <v>54</v>
      </c>
      <c r="D39" s="26"/>
      <c r="E39" s="26"/>
      <c r="F39" s="5" t="s">
        <v>21</v>
      </c>
      <c r="G39" s="5">
        <v>1</v>
      </c>
      <c r="H39" s="6">
        <v>5000000</v>
      </c>
      <c r="I39" s="6">
        <f>H39*G39</f>
        <v>5000000</v>
      </c>
    </row>
    <row r="40" spans="2:11" x14ac:dyDescent="0.3">
      <c r="B40" s="27" t="s">
        <v>32</v>
      </c>
      <c r="C40" s="27"/>
      <c r="D40" s="27"/>
      <c r="E40" s="27"/>
      <c r="F40" s="27"/>
      <c r="G40" s="27"/>
      <c r="H40" s="27"/>
      <c r="I40" s="12">
        <f>SUM(I23:I39)</f>
        <v>203500000</v>
      </c>
      <c r="K40" s="8">
        <f>197250000+50000000</f>
        <v>247250000</v>
      </c>
    </row>
    <row r="41" spans="2:11" ht="20.399999999999999" customHeight="1" x14ac:dyDescent="0.3">
      <c r="B41" s="28" t="s">
        <v>33</v>
      </c>
      <c r="C41" s="28"/>
      <c r="D41" s="28"/>
      <c r="E41" s="28"/>
      <c r="F41" s="28"/>
      <c r="G41" s="28"/>
      <c r="H41" s="28"/>
      <c r="I41" s="25">
        <f>+I40+I21</f>
        <v>230000000</v>
      </c>
      <c r="K41" s="21"/>
    </row>
    <row r="42" spans="2:11" ht="22.2" customHeight="1" x14ac:dyDescent="0.3">
      <c r="B42" s="54" t="s">
        <v>62</v>
      </c>
      <c r="C42" s="55"/>
      <c r="D42" s="55"/>
      <c r="E42" s="55"/>
      <c r="F42" s="55"/>
      <c r="G42" s="55"/>
      <c r="H42" s="55"/>
      <c r="I42" s="56"/>
    </row>
    <row r="45" spans="2:11" s="17" customFormat="1" ht="13.8" x14ac:dyDescent="0.25">
      <c r="B45" s="39" t="s">
        <v>50</v>
      </c>
      <c r="C45" s="39"/>
      <c r="D45" s="39"/>
      <c r="E45" s="39"/>
      <c r="F45" s="39"/>
      <c r="G45" s="39"/>
      <c r="H45" s="39"/>
      <c r="I45" s="39"/>
    </row>
    <row r="46" spans="2:11" s="17" customFormat="1" ht="13.8" x14ac:dyDescent="0.25">
      <c r="B46" s="39"/>
      <c r="C46" s="39"/>
      <c r="D46" s="39"/>
      <c r="E46" s="39"/>
      <c r="F46" s="39"/>
      <c r="G46" s="39"/>
      <c r="H46" s="39"/>
      <c r="I46" s="39"/>
    </row>
    <row r="47" spans="2:11" s="17" customFormat="1" ht="13.8" x14ac:dyDescent="0.25">
      <c r="B47" s="39" t="s">
        <v>63</v>
      </c>
      <c r="C47" s="39"/>
      <c r="D47" s="39"/>
      <c r="E47" s="39"/>
      <c r="F47" s="39"/>
      <c r="G47" s="39"/>
      <c r="H47" s="39"/>
      <c r="I47" s="39"/>
    </row>
    <row r="48" spans="2:11" s="17" customFormat="1" ht="13.8" x14ac:dyDescent="0.25">
      <c r="B48" s="60" t="s">
        <v>64</v>
      </c>
      <c r="C48" s="60"/>
      <c r="D48" s="60"/>
      <c r="E48" s="60"/>
      <c r="F48" s="60"/>
      <c r="G48" s="60"/>
      <c r="H48" s="60"/>
      <c r="I48" s="60"/>
    </row>
    <row r="49" spans="2:11" s="17" customFormat="1" ht="13.8" x14ac:dyDescent="0.25">
      <c r="B49" s="39"/>
      <c r="C49" s="39"/>
      <c r="D49" s="39"/>
      <c r="E49" s="39"/>
      <c r="F49" s="39"/>
      <c r="G49" s="39"/>
      <c r="H49" s="39"/>
      <c r="I49" s="39"/>
    </row>
    <row r="50" spans="2:11" s="17" customFormat="1" ht="13.8" x14ac:dyDescent="0.25">
      <c r="K50" s="17" t="s">
        <v>53</v>
      </c>
    </row>
    <row r="51" spans="2:11" s="17" customFormat="1" ht="13.8" x14ac:dyDescent="0.25">
      <c r="B51" s="39"/>
      <c r="C51" s="39"/>
      <c r="D51" s="39"/>
      <c r="E51" s="39"/>
      <c r="F51" s="39"/>
      <c r="G51" s="39"/>
      <c r="H51" s="39"/>
      <c r="I51" s="39"/>
    </row>
    <row r="52" spans="2:11" s="17" customFormat="1" ht="13.8" x14ac:dyDescent="0.25"/>
    <row r="53" spans="2:11" s="17" customFormat="1" ht="13.8" x14ac:dyDescent="0.25">
      <c r="B53" s="39"/>
      <c r="C53" s="39"/>
      <c r="D53" s="39"/>
      <c r="E53" s="39"/>
      <c r="F53" s="39"/>
      <c r="G53" s="39"/>
      <c r="H53" s="39"/>
      <c r="I53" s="39"/>
    </row>
    <row r="54" spans="2:11" s="17" customFormat="1" ht="13.8" x14ac:dyDescent="0.25">
      <c r="B54" s="58" t="s">
        <v>51</v>
      </c>
      <c r="C54" s="58"/>
      <c r="D54" s="58"/>
      <c r="E54" s="18"/>
      <c r="F54" s="18"/>
      <c r="G54" s="18"/>
      <c r="H54" s="18"/>
      <c r="I54" s="18"/>
    </row>
    <row r="55" spans="2:11" s="17" customFormat="1" ht="13.8" x14ac:dyDescent="0.25">
      <c r="B55" s="59" t="s">
        <v>52</v>
      </c>
      <c r="C55" s="59"/>
      <c r="D55" s="59"/>
    </row>
    <row r="59" spans="2:11" x14ac:dyDescent="0.3">
      <c r="B59" s="57"/>
      <c r="C59" s="57"/>
      <c r="D59" s="57"/>
      <c r="E59" s="57"/>
      <c r="F59" s="57"/>
      <c r="G59" s="57"/>
      <c r="H59" s="57"/>
      <c r="I59" s="57"/>
    </row>
    <row r="60" spans="2:11" x14ac:dyDescent="0.3">
      <c r="B60" s="57"/>
      <c r="C60" s="57"/>
      <c r="D60" s="57"/>
      <c r="E60" s="57"/>
      <c r="F60" s="57"/>
      <c r="G60" s="57"/>
      <c r="H60" s="57"/>
      <c r="I60" s="57"/>
    </row>
    <row r="61" spans="2:11" x14ac:dyDescent="0.3">
      <c r="B61" s="57"/>
      <c r="C61" s="57"/>
      <c r="D61" s="57"/>
      <c r="E61" s="57"/>
      <c r="F61" s="57"/>
      <c r="G61" s="57"/>
      <c r="H61" s="57"/>
      <c r="I61" s="57"/>
    </row>
    <row r="62" spans="2:11" x14ac:dyDescent="0.3">
      <c r="B62" s="57"/>
      <c r="C62" s="57"/>
      <c r="D62" s="57"/>
      <c r="E62" s="57"/>
      <c r="F62" s="57"/>
      <c r="G62" s="57"/>
      <c r="H62" s="57"/>
      <c r="I62" s="57"/>
    </row>
  </sheetData>
  <mergeCells count="47">
    <mergeCell ref="B55:D55"/>
    <mergeCell ref="B59:I59"/>
    <mergeCell ref="B60:I60"/>
    <mergeCell ref="B61:I61"/>
    <mergeCell ref="B62:I62"/>
    <mergeCell ref="B47:I47"/>
    <mergeCell ref="B48:I48"/>
    <mergeCell ref="B49:I49"/>
    <mergeCell ref="B51:I51"/>
    <mergeCell ref="B53:I53"/>
    <mergeCell ref="B54:D54"/>
    <mergeCell ref="C39:E39"/>
    <mergeCell ref="B40:H40"/>
    <mergeCell ref="B41:H41"/>
    <mergeCell ref="B42:I42"/>
    <mergeCell ref="B45:I45"/>
    <mergeCell ref="B46:I46"/>
    <mergeCell ref="C29:E29"/>
    <mergeCell ref="D34:E34"/>
    <mergeCell ref="D35:E35"/>
    <mergeCell ref="D36:E36"/>
    <mergeCell ref="C37:E37"/>
    <mergeCell ref="C38:E38"/>
    <mergeCell ref="C22:I22"/>
    <mergeCell ref="C24:E24"/>
    <mergeCell ref="D25:E25"/>
    <mergeCell ref="D26:E26"/>
    <mergeCell ref="D27:E27"/>
    <mergeCell ref="D28:E28"/>
    <mergeCell ref="B17:B19"/>
    <mergeCell ref="C17:E17"/>
    <mergeCell ref="D18:E18"/>
    <mergeCell ref="D19:E19"/>
    <mergeCell ref="D20:E20"/>
    <mergeCell ref="B21:H21"/>
    <mergeCell ref="C12:E12"/>
    <mergeCell ref="C13:I13"/>
    <mergeCell ref="B14:B16"/>
    <mergeCell ref="C14:E14"/>
    <mergeCell ref="D15:E15"/>
    <mergeCell ref="D16:E16"/>
    <mergeCell ref="B3:I6"/>
    <mergeCell ref="B7:I7"/>
    <mergeCell ref="B8:I8"/>
    <mergeCell ref="B9:I9"/>
    <mergeCell ref="B10:I10"/>
    <mergeCell ref="B11:I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RAB Sertifikasi PT TBP</vt:lpstr>
      <vt:lpstr>revisi</vt:lpstr>
      <vt:lpstr>'RAB Sertifikasi PT TBP'!Print_Area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Windows10</dc:creator>
  <cp:lastModifiedBy>USER</cp:lastModifiedBy>
  <cp:lastPrinted>2022-06-24T07:50:49Z</cp:lastPrinted>
  <dcterms:created xsi:type="dcterms:W3CDTF">2022-02-02T21:37:24Z</dcterms:created>
  <dcterms:modified xsi:type="dcterms:W3CDTF">2022-09-23T01:59:36Z</dcterms:modified>
</cp:coreProperties>
</file>